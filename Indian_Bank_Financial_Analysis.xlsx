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1524A56FD3F655/Documents/"/>
    </mc:Choice>
  </mc:AlternateContent>
  <xr:revisionPtr revIDLastSave="320" documentId="8_{2FFE8F4C-7A82-4FD0-859F-FFF2C435072A}" xr6:coauthVersionLast="47" xr6:coauthVersionMax="47" xr10:uidLastSave="{79B85B9D-5644-4207-8FC2-46A38094C521}"/>
  <bookViews>
    <workbookView xWindow="-96" yWindow="0" windowWidth="11712" windowHeight="13056" xr2:uid="{4A14E85F-2B5F-493D-ADE0-97556DC114DC}"/>
  </bookViews>
  <sheets>
    <sheet name="Raw Data" sheetId="1" r:id="rId1"/>
    <sheet name="Analysis" sheetId="2" r:id="rId2"/>
    <sheet name="Performance" sheetId="3" r:id="rId3"/>
    <sheet name="Charts" sheetId="4" r:id="rId4"/>
    <sheet name="Key Find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4" l="1"/>
  <c r="C51" i="4"/>
  <c r="B52" i="4"/>
  <c r="C52" i="4"/>
  <c r="B53" i="4"/>
  <c r="C53" i="4"/>
  <c r="C50" i="4"/>
  <c r="B50" i="4"/>
  <c r="B44" i="4"/>
  <c r="C44" i="4"/>
  <c r="B45" i="4"/>
  <c r="C45" i="4"/>
  <c r="B46" i="4"/>
  <c r="C46" i="4"/>
  <c r="C43" i="4"/>
  <c r="B43" i="4"/>
  <c r="D10" i="3"/>
  <c r="D11" i="3"/>
  <c r="D12" i="3"/>
  <c r="D9" i="3"/>
  <c r="B10" i="3"/>
  <c r="C10" i="3"/>
  <c r="E10" i="3"/>
  <c r="F10" i="3"/>
  <c r="G10" i="3"/>
  <c r="B11" i="3"/>
  <c r="C11" i="3"/>
  <c r="E11" i="3"/>
  <c r="F11" i="3"/>
  <c r="G11" i="3"/>
  <c r="B12" i="3"/>
  <c r="C12" i="3"/>
  <c r="E12" i="3"/>
  <c r="F12" i="3"/>
  <c r="G12" i="3"/>
  <c r="G9" i="3"/>
  <c r="F9" i="3"/>
  <c r="E9" i="3"/>
  <c r="C9" i="3"/>
  <c r="B9" i="3"/>
  <c r="A3" i="3"/>
  <c r="B3" i="3"/>
  <c r="C3" i="3"/>
  <c r="D3" i="3"/>
  <c r="E3" i="3"/>
  <c r="G3" i="3" s="1"/>
  <c r="F3" i="3"/>
  <c r="A4" i="3"/>
  <c r="B4" i="3"/>
  <c r="C4" i="3"/>
  <c r="D4" i="3"/>
  <c r="E4" i="3"/>
  <c r="F4" i="3"/>
  <c r="G4" i="3"/>
  <c r="A5" i="3"/>
  <c r="B5" i="3"/>
  <c r="C5" i="3"/>
  <c r="D5" i="3"/>
  <c r="F5" i="3"/>
  <c r="G2" i="3"/>
  <c r="F2" i="3"/>
  <c r="E2" i="3"/>
  <c r="D2" i="3"/>
  <c r="C2" i="3"/>
  <c r="B2" i="3"/>
  <c r="A2" i="3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A5" i="2"/>
  <c r="B5" i="2"/>
  <c r="C5" i="2"/>
  <c r="D5" i="2"/>
  <c r="E5" i="3" s="1"/>
  <c r="G5" i="3" s="1"/>
  <c r="E5" i="2"/>
  <c r="F5" i="2"/>
  <c r="G5" i="2"/>
  <c r="H5" i="2"/>
  <c r="I5" i="2"/>
  <c r="J5" i="2"/>
  <c r="K5" i="2"/>
  <c r="L5" i="2"/>
  <c r="M5" i="2"/>
  <c r="N5" i="2"/>
  <c r="O5" i="2"/>
  <c r="H11" i="3" l="1"/>
  <c r="I11" i="3" s="1"/>
  <c r="H10" i="3"/>
  <c r="I10" i="3" s="1"/>
  <c r="H12" i="3"/>
  <c r="I12" i="3" s="1"/>
  <c r="H9" i="3"/>
  <c r="I9" i="3" s="1"/>
</calcChain>
</file>

<file path=xl/sharedStrings.xml><?xml version="1.0" encoding="utf-8"?>
<sst xmlns="http://schemas.openxmlformats.org/spreadsheetml/2006/main" count="160" uniqueCount="64">
  <si>
    <t>Bank</t>
  </si>
  <si>
    <t>Metric</t>
  </si>
  <si>
    <t>FY25</t>
  </si>
  <si>
    <t>FY26</t>
  </si>
  <si>
    <t>Unit</t>
  </si>
  <si>
    <t>Source</t>
  </si>
  <si>
    <t>ICICI Bank</t>
  </si>
  <si>
    <t>Net Profit</t>
  </si>
  <si>
    <t>₹ crore</t>
  </si>
  <si>
    <t>ROA</t>
  </si>
  <si>
    <t>%</t>
  </si>
  <si>
    <t>ROE</t>
  </si>
  <si>
    <t>GNPA</t>
  </si>
  <si>
    <t>NNPA</t>
  </si>
  <si>
    <t>HDFC Bank</t>
  </si>
  <si>
    <t>Axis Bank</t>
  </si>
  <si>
    <t>SBI</t>
  </si>
  <si>
    <t>Net Interest Income (NII)</t>
  </si>
  <si>
    <t>Cost-to-Income Ratio</t>
  </si>
  <si>
    <t>ICICI Bank FY26 Annual Report</t>
  </si>
  <si>
    <t>HDFC Bank FY26 Annual Report</t>
  </si>
  <si>
    <t>Axis Bank FY26 Annual Report</t>
  </si>
  <si>
    <t>SBI Bank FY26 Annual Report</t>
  </si>
  <si>
    <t>Net Profit FY25 (₹ Cr)</t>
  </si>
  <si>
    <t>Net Profit FY26 (₹ Cr)</t>
  </si>
  <si>
    <t>NII FY25 (₹ Cr)</t>
  </si>
  <si>
    <t>NII FY26 (₹ Cr)</t>
  </si>
  <si>
    <t>ROA FY25 (%)</t>
  </si>
  <si>
    <t>ROA FY26 (%)</t>
  </si>
  <si>
    <t>ROE FY25 (%)</t>
  </si>
  <si>
    <t>ROE FY26 (%)</t>
  </si>
  <si>
    <t>GNPA FY25 (%)</t>
  </si>
  <si>
    <t>GNPA FY26 (%)</t>
  </si>
  <si>
    <t>NNPA FY25 (%)</t>
  </si>
  <si>
    <t>NNPA FY26 (%)</t>
  </si>
  <si>
    <t>Cost-to-Income FY25 (%)</t>
  </si>
  <si>
    <t>Cost-to-Income FY26 (%)</t>
  </si>
  <si>
    <t>Net Profit Growth (%)</t>
  </si>
  <si>
    <t>NII Growth (%)</t>
  </si>
  <si>
    <t>ROA Rank</t>
  </si>
  <si>
    <t>ROE Rank</t>
  </si>
  <si>
    <t>GNPA Rank</t>
  </si>
  <si>
    <t>NNPA Rank</t>
  </si>
  <si>
    <t>Cost-to-Income Rank</t>
  </si>
  <si>
    <t>Profit Growth Rank</t>
  </si>
  <si>
    <t>NII Growth Rank</t>
  </si>
  <si>
    <t>Overall Score</t>
  </si>
  <si>
    <t>No.</t>
  </si>
  <si>
    <t>Key Finding</t>
  </si>
  <si>
    <t>Evidence and Interpretation</t>
  </si>
  <si>
    <t>Strongest profit growth</t>
  </si>
  <si>
    <t>SBI recorded FY26 net profit of ₹80,032 crore and profit growth of 12.88%, the highest among the four banks. Absolute profit does not directly measure efficiency.</t>
  </si>
  <si>
    <t>Highest NII growth</t>
  </si>
  <si>
    <t>ICICI's NII grew by 8.51%, from ₹81,165 crore to ₹88,075 crore, the highest growth in the group.</t>
  </si>
  <si>
    <t>Strong asset quality and efficiency</t>
  </si>
  <si>
    <t>HDFC had the lowest FY26 GNPA at 1.15% and lowest cost-to-income ratio at 38.00%. Its GNPA, NNPA and cost-to-income ratio improved from FY25.</t>
  </si>
  <si>
    <t>ICICI's profitability strengths</t>
  </si>
  <si>
    <t>ICICI had the highest FY26 ROA at 2.32% and lowest NNPA at 0.33%, but ROA declined and cost-to-income increased year over year.</t>
  </si>
  <si>
    <t>SBI's mixed performance</t>
  </si>
  <si>
    <t>SBI had the highest ROE at 18.57%, but the lowest ROA at 1.12% and highest GNPA and NNPA ratios among the four banks.</t>
  </si>
  <si>
    <t>Axis's declining profit</t>
  </si>
  <si>
    <t>Axis net profit declined by 7.27% despite NII growth of 3.13%. ROA and ROE also declined; further data is needed to determine the reasons.</t>
  </si>
  <si>
    <t>Overall ranking</t>
  </si>
  <si>
    <t>ICICI ranked first with 13 points, followed by HDFC at 14, SBI at 21 and Axis at 22. The score uses equal weighting for seven rankings and is not a universal measure of bank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</si>
</sst>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/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Net Profit Comparison: FY25 vs FY26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Performance!$B$1</c:f>
              <c:strCache>
                <c:ptCount val="1"/>
                <c:pt idx="0">
                  <c:v>Net Profit FY25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Performance!$A$2:$A$5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Performance!$B$2:$B$5</c:f>
              <c:numCache>
                <c:formatCode>0.00</c:formatCode>
                <c:ptCount val="4"/>
                <c:pt idx="0">
                  <c:v>47227</c:v>
                </c:pt>
                <c:pt idx="1">
                  <c:v>67347.399999999994</c:v>
                </c:pt>
                <c:pt idx="2">
                  <c:v>26373</c:v>
                </c:pt>
                <c:pt idx="3">
                  <c:v>70901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9-4593-B3D3-03F2AB7F5497}"/>
            </c:ext>
          </c:extLst>
        </c:ser>
        <c:ser>
          <c:idx val="1"/>
          <c:order val="1"/>
          <c:tx>
            <c:strRef>
              <c:f>Performance!$C$1</c:f>
              <c:strCache>
                <c:ptCount val="1"/>
                <c:pt idx="0">
                  <c:v>Net Profit FY26 (₹ Cr)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Performance!$A$2:$A$5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Performance!$C$2:$C$5</c:f>
              <c:numCache>
                <c:formatCode>0.00</c:formatCode>
                <c:ptCount val="4"/>
                <c:pt idx="0">
                  <c:v>50147</c:v>
                </c:pt>
                <c:pt idx="1">
                  <c:v>74671.3</c:v>
                </c:pt>
                <c:pt idx="2">
                  <c:v>24457</c:v>
                </c:pt>
                <c:pt idx="3">
                  <c:v>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9-4593-B3D3-03F2AB7F5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745375"/>
        <c:axId val="1698554383"/>
      </c:barChart>
      <c:catAx>
        <c:axId val="17657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54383"/>
        <c:crosses val="autoZero"/>
        <c:auto val="1"/>
        <c:lblAlgn val="ctr"/>
        <c:lblOffset val="100"/>
        <c:noMultiLvlLbl val="0"/>
      </c:catAx>
      <c:valAx>
        <c:axId val="169855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4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ROA vs ROE — FY26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Charts!$B$42</c:f>
              <c:strCache>
                <c:ptCount val="1"/>
                <c:pt idx="0">
                  <c:v>ROA FY26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Charts!$A$43:$A$46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Charts!$B$43:$B$46</c:f>
              <c:numCache>
                <c:formatCode>#,##0.00</c:formatCode>
                <c:ptCount val="4"/>
                <c:pt idx="0">
                  <c:v>2.3199999999999998</c:v>
                </c:pt>
                <c:pt idx="1">
                  <c:v>1.94</c:v>
                </c:pt>
                <c:pt idx="2">
                  <c:v>1.45</c:v>
                </c:pt>
                <c:pt idx="3">
                  <c:v>1.1200000000000001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F-4FB2-887D-4BF6AE92F91D}"/>
            </c:ext>
          </c:extLst>
        </c:ser>
        <c:ser>
          <c:idx val="1"/>
          <c:order val="1"/>
          <c:tx>
            <c:strRef>
              <c:f>Charts!$C$42</c:f>
              <c:strCache>
                <c:ptCount val="1"/>
                <c:pt idx="0">
                  <c:v>ROE FY26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Charts!$A$43:$A$46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Charts!$C$43:$C$46</c:f>
              <c:numCache>
                <c:formatCode>#,##0.00</c:formatCode>
                <c:ptCount val="4"/>
                <c:pt idx="0">
                  <c:v>15.97</c:v>
                </c:pt>
                <c:pt idx="1">
                  <c:v>14.3</c:v>
                </c:pt>
                <c:pt idx="2">
                  <c:v>13.15</c:v>
                </c:pt>
                <c:pt idx="3">
                  <c:v>18.57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F-4FB2-887D-4BF6AE92F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148463"/>
        <c:axId val="1698512143"/>
      </c:barChart>
      <c:catAx>
        <c:axId val="170014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12143"/>
        <c:crosses val="autoZero"/>
        <c:auto val="1"/>
        <c:lblAlgn val="ctr"/>
        <c:lblOffset val="100"/>
        <c:noMultiLvlLbl val="0"/>
      </c:catAx>
      <c:valAx>
        <c:axId val="169851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4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Asset Quality: GNPA vs NNPA — FY26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Charts!$B$49</c:f>
              <c:strCache>
                <c:ptCount val="1"/>
                <c:pt idx="0">
                  <c:v>GNPA FY26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Charts!$A$50:$A$53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Charts!$B$50:$B$53</c:f>
              <c:numCache>
                <c:formatCode>#,##0.00</c:formatCode>
                <c:ptCount val="4"/>
                <c:pt idx="0">
                  <c:v>1.4</c:v>
                </c:pt>
                <c:pt idx="1">
                  <c:v>1.1499999999999999</c:v>
                </c:pt>
                <c:pt idx="2">
                  <c:v>1.23</c:v>
                </c:pt>
                <c:pt idx="3">
                  <c:v>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A-445A-A3C9-CF7C51094E19}"/>
            </c:ext>
          </c:extLst>
        </c:ser>
        <c:ser>
          <c:idx val="1"/>
          <c:order val="1"/>
          <c:tx>
            <c:strRef>
              <c:f>Charts!$C$49</c:f>
              <c:strCache>
                <c:ptCount val="1"/>
                <c:pt idx="0">
                  <c:v>NNPA FY26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Charts!$A$50:$A$53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Charts!$C$50:$C$53</c:f>
              <c:numCache>
                <c:formatCode>#,##0.00</c:formatCode>
                <c:ptCount val="4"/>
                <c:pt idx="0">
                  <c:v>0.33</c:v>
                </c:pt>
                <c:pt idx="1">
                  <c:v>0.38</c:v>
                </c:pt>
                <c:pt idx="2">
                  <c:v>0.37</c:v>
                </c:pt>
                <c:pt idx="3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A-445A-A3C9-CF7C5109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718751"/>
        <c:axId val="1698539023"/>
      </c:barChart>
      <c:catAx>
        <c:axId val="174571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39023"/>
        <c:crosses val="autoZero"/>
        <c:auto val="1"/>
        <c:lblAlgn val="ctr"/>
        <c:lblOffset val="100"/>
        <c:noMultiLvlLbl val="0"/>
      </c:catAx>
      <c:valAx>
        <c:axId val="169853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7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Overall Performance Score (Lower = Better)</a:t>
            </a:r>
            <a:endParaRPr lang="en-US"/>
          </a:p>
        </c:rich>
      </c:tx>
      <c:layout>
        <c:manualLayout>
          <c:xMode val="edge"/>
          <c:yMode val="edge"/>
          <c:x val="0.16893022446304543"/>
          <c:y val="2.7777807982341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Performance!$I$8</c:f>
              <c:strCache>
                <c:ptCount val="1"/>
                <c:pt idx="0">
                  <c:v>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Performance!$A$9:$A$12</c:f>
              <c:strCache>
                <c:ptCount val="4"/>
                <c:pt idx="0">
                  <c:v>ICICI Bank</c:v>
                </c:pt>
                <c:pt idx="1">
                  <c:v>HDFC Bank</c:v>
                </c:pt>
                <c:pt idx="2">
                  <c:v>Axis Bank</c:v>
                </c:pt>
                <c:pt idx="3">
                  <c:v>SBI</c:v>
                </c:pt>
              </c:strCache>
            </c:strRef>
          </c:cat>
          <c:val>
            <c:numRef>
              <c:f>Performance!$I$9:$I$12</c:f>
              <c:numCache>
                <c:formatCode>General</c:formatCode>
                <c:ptCount val="4"/>
                <c:pt idx="0">
                  <c:v>13</c:v>
                </c:pt>
                <c:pt idx="1">
                  <c:v>14</c:v>
                </c:pt>
                <c:pt idx="2">
                  <c:v>22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C-4B11-9A08-E1D165E50B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1956111"/>
        <c:axId val="1698547663"/>
      </c:barChart>
      <c:catAx>
        <c:axId val="138195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47663"/>
        <c:crosses val="autoZero"/>
        <c:auto val="1"/>
        <c:lblAlgn val="ctr"/>
        <c:lblOffset val="100"/>
        <c:noMultiLvlLbl val="0"/>
      </c:catAx>
      <c:valAx>
        <c:axId val="169854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5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5</xdr:col>
      <xdr:colOff>167640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F30202-A279-47FC-BDE7-DB6284A3D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0</xdr:row>
      <xdr:rowOff>0</xdr:rowOff>
    </xdr:from>
    <xdr:to>
      <xdr:col>12</xdr:col>
      <xdr:colOff>495300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6CB8C9-F2B1-4249-1C49-6B3007733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175260</xdr:rowOff>
    </xdr:from>
    <xdr:to>
      <xdr:col>5</xdr:col>
      <xdr:colOff>160020</xdr:colOff>
      <xdr:row>29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913D55-DC7B-5071-5A56-2AD936976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198120</xdr:colOff>
      <xdr:row>15</xdr:row>
      <xdr:rowOff>7620</xdr:rowOff>
    </xdr:from>
    <xdr:to>
      <xdr:col>12</xdr:col>
      <xdr:colOff>502920</xdr:colOff>
      <xdr:row>30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BC7644-0DA8-4D6A-A26A-0A9A20455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36BB-ECDF-4E46-95F4-1D6397873942}">
  <dimension ref="A1:F29"/>
  <sheetViews>
    <sheetView tabSelected="1" zoomScale="74" workbookViewId="0">
      <selection activeCell="C24" sqref="C24"/>
    </sheetView>
  </sheetViews>
  <sheetFormatPr defaultRowHeight="13.8" x14ac:dyDescent="0.3"/>
  <cols>
    <col min="1" max="1" width="13.5546875" style="3" customWidth="1"/>
    <col min="2" max="2" width="26" style="3" customWidth="1"/>
    <col min="3" max="3" width="11.77734375" style="3" customWidth="1"/>
    <col min="4" max="4" width="12.6640625" style="3" customWidth="1"/>
    <col min="5" max="5" width="9.6640625" style="3" customWidth="1"/>
    <col min="6" max="6" width="53.77734375" style="3" customWidth="1"/>
    <col min="7" max="16384" width="8.88671875" style="3"/>
  </cols>
  <sheetData>
    <row r="1" spans="1:6" s="7" customFormat="1" ht="34.79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4" t="s">
        <v>7</v>
      </c>
      <c r="C2" s="5">
        <v>47227</v>
      </c>
      <c r="D2" s="5">
        <v>50147</v>
      </c>
      <c r="E2" s="4" t="s">
        <v>8</v>
      </c>
      <c r="F2" s="4" t="s">
        <v>19</v>
      </c>
    </row>
    <row r="3" spans="1:6" x14ac:dyDescent="0.3">
      <c r="A3" s="4" t="s">
        <v>6</v>
      </c>
      <c r="B3" s="4" t="s">
        <v>17</v>
      </c>
      <c r="C3" s="5">
        <v>81165</v>
      </c>
      <c r="D3" s="5">
        <v>88075</v>
      </c>
      <c r="E3" s="4" t="s">
        <v>8</v>
      </c>
      <c r="F3" s="4"/>
    </row>
    <row r="4" spans="1:6" x14ac:dyDescent="0.3">
      <c r="A4" s="4" t="s">
        <v>6</v>
      </c>
      <c r="B4" s="4" t="s">
        <v>9</v>
      </c>
      <c r="C4" s="4">
        <v>2.4</v>
      </c>
      <c r="D4" s="4">
        <v>2.3199999999999998</v>
      </c>
      <c r="E4" s="4" t="s">
        <v>10</v>
      </c>
      <c r="F4" s="4"/>
    </row>
    <row r="5" spans="1:6" x14ac:dyDescent="0.3">
      <c r="A5" s="4" t="s">
        <v>6</v>
      </c>
      <c r="B5" s="4" t="s">
        <v>11</v>
      </c>
      <c r="C5" s="4">
        <v>17.95</v>
      </c>
      <c r="D5" s="4">
        <v>15.97</v>
      </c>
      <c r="E5" s="4" t="s">
        <v>10</v>
      </c>
      <c r="F5" s="4"/>
    </row>
    <row r="6" spans="1:6" x14ac:dyDescent="0.3">
      <c r="A6" s="4" t="s">
        <v>6</v>
      </c>
      <c r="B6" s="4" t="s">
        <v>12</v>
      </c>
      <c r="C6" s="4">
        <v>1.67</v>
      </c>
      <c r="D6" s="4">
        <v>1.4</v>
      </c>
      <c r="E6" s="4" t="s">
        <v>10</v>
      </c>
      <c r="F6" s="4"/>
    </row>
    <row r="7" spans="1:6" x14ac:dyDescent="0.3">
      <c r="A7" s="4" t="s">
        <v>6</v>
      </c>
      <c r="B7" s="4" t="s">
        <v>13</v>
      </c>
      <c r="C7" s="4">
        <v>0.39</v>
      </c>
      <c r="D7" s="4">
        <v>0.33</v>
      </c>
      <c r="E7" s="4" t="s">
        <v>10</v>
      </c>
      <c r="F7" s="4"/>
    </row>
    <row r="8" spans="1:6" ht="27.6" x14ac:dyDescent="0.3">
      <c r="A8" s="4" t="s">
        <v>6</v>
      </c>
      <c r="B8" s="4" t="s">
        <v>18</v>
      </c>
      <c r="C8" s="4">
        <v>38.64</v>
      </c>
      <c r="D8" s="4">
        <v>39.75</v>
      </c>
      <c r="E8" s="4" t="s">
        <v>10</v>
      </c>
      <c r="F8" s="4"/>
    </row>
    <row r="9" spans="1:6" x14ac:dyDescent="0.3">
      <c r="A9" s="1" t="s">
        <v>14</v>
      </c>
      <c r="B9" s="4" t="s">
        <v>7</v>
      </c>
      <c r="C9" s="6">
        <v>67347.399999999994</v>
      </c>
      <c r="D9" s="6">
        <v>74671.3</v>
      </c>
      <c r="E9" s="4" t="s">
        <v>8</v>
      </c>
      <c r="F9" s="4" t="s">
        <v>20</v>
      </c>
    </row>
    <row r="10" spans="1:6" x14ac:dyDescent="0.3">
      <c r="A10" s="4" t="s">
        <v>14</v>
      </c>
      <c r="B10" s="4" t="s">
        <v>17</v>
      </c>
      <c r="C10" s="6">
        <v>122670.1</v>
      </c>
      <c r="D10" s="6">
        <v>128686</v>
      </c>
      <c r="E10" s="4" t="s">
        <v>8</v>
      </c>
      <c r="F10" s="4"/>
    </row>
    <row r="11" spans="1:6" x14ac:dyDescent="0.3">
      <c r="A11" s="4" t="s">
        <v>14</v>
      </c>
      <c r="B11" s="4" t="s">
        <v>9</v>
      </c>
      <c r="C11" s="4">
        <v>1.91</v>
      </c>
      <c r="D11" s="4">
        <v>1.94</v>
      </c>
      <c r="E11" s="4" t="s">
        <v>10</v>
      </c>
      <c r="F11" s="4"/>
    </row>
    <row r="12" spans="1:6" x14ac:dyDescent="0.3">
      <c r="A12" s="4" t="s">
        <v>14</v>
      </c>
      <c r="B12" s="4" t="s">
        <v>11</v>
      </c>
      <c r="C12" s="4">
        <v>14.56</v>
      </c>
      <c r="D12" s="4">
        <v>14.3</v>
      </c>
      <c r="E12" s="4" t="s">
        <v>10</v>
      </c>
    </row>
    <row r="13" spans="1:6" x14ac:dyDescent="0.3">
      <c r="A13" s="4" t="s">
        <v>14</v>
      </c>
      <c r="B13" s="4" t="s">
        <v>12</v>
      </c>
      <c r="C13" s="4">
        <v>1.33</v>
      </c>
      <c r="D13" s="4">
        <v>1.1499999999999999</v>
      </c>
      <c r="E13" s="4" t="s">
        <v>10</v>
      </c>
    </row>
    <row r="14" spans="1:6" x14ac:dyDescent="0.3">
      <c r="A14" s="4" t="s">
        <v>14</v>
      </c>
      <c r="B14" s="4" t="s">
        <v>13</v>
      </c>
      <c r="C14" s="4">
        <v>0.43</v>
      </c>
      <c r="D14" s="4">
        <v>0.38</v>
      </c>
      <c r="E14" s="4" t="s">
        <v>10</v>
      </c>
    </row>
    <row r="15" spans="1:6" ht="27.6" x14ac:dyDescent="0.3">
      <c r="A15" s="4" t="s">
        <v>14</v>
      </c>
      <c r="B15" s="4" t="s">
        <v>18</v>
      </c>
      <c r="C15" s="4">
        <v>40.5</v>
      </c>
      <c r="D15" s="4">
        <v>38</v>
      </c>
      <c r="E15" s="4" t="s">
        <v>10</v>
      </c>
    </row>
    <row r="16" spans="1:6" x14ac:dyDescent="0.3">
      <c r="A16" s="1" t="s">
        <v>15</v>
      </c>
      <c r="B16" s="4" t="s">
        <v>7</v>
      </c>
      <c r="C16" s="5">
        <v>26373</v>
      </c>
      <c r="D16" s="5">
        <v>24457</v>
      </c>
      <c r="E16" s="4" t="s">
        <v>8</v>
      </c>
      <c r="F16" s="3" t="s">
        <v>21</v>
      </c>
    </row>
    <row r="17" spans="1:6" x14ac:dyDescent="0.3">
      <c r="A17" s="4" t="s">
        <v>15</v>
      </c>
      <c r="B17" s="4" t="s">
        <v>17</v>
      </c>
      <c r="C17" s="5">
        <v>54348</v>
      </c>
      <c r="D17" s="5">
        <v>56048</v>
      </c>
      <c r="E17" s="4" t="s">
        <v>8</v>
      </c>
    </row>
    <row r="18" spans="1:6" x14ac:dyDescent="0.3">
      <c r="A18" s="4" t="s">
        <v>15</v>
      </c>
      <c r="B18" s="4" t="s">
        <v>9</v>
      </c>
      <c r="C18" s="4">
        <v>1.74</v>
      </c>
      <c r="D18" s="4">
        <v>1.45</v>
      </c>
      <c r="E18" s="4" t="s">
        <v>10</v>
      </c>
    </row>
    <row r="19" spans="1:6" x14ac:dyDescent="0.3">
      <c r="A19" s="4" t="s">
        <v>15</v>
      </c>
      <c r="B19" s="4" t="s">
        <v>11</v>
      </c>
      <c r="C19" s="4">
        <v>16.52</v>
      </c>
      <c r="D19" s="4">
        <v>13.15</v>
      </c>
      <c r="E19" s="4" t="s">
        <v>10</v>
      </c>
    </row>
    <row r="20" spans="1:6" x14ac:dyDescent="0.3">
      <c r="A20" s="4" t="s">
        <v>15</v>
      </c>
      <c r="B20" s="4" t="s">
        <v>12</v>
      </c>
      <c r="C20" s="4">
        <v>1.28</v>
      </c>
      <c r="D20" s="4">
        <v>1.23</v>
      </c>
      <c r="E20" s="4" t="s">
        <v>10</v>
      </c>
    </row>
    <row r="21" spans="1:6" x14ac:dyDescent="0.3">
      <c r="A21" s="4" t="s">
        <v>15</v>
      </c>
      <c r="B21" s="4" t="s">
        <v>13</v>
      </c>
      <c r="C21" s="4">
        <v>0.33</v>
      </c>
      <c r="D21" s="4">
        <v>0.37</v>
      </c>
      <c r="E21" s="4" t="s">
        <v>10</v>
      </c>
    </row>
    <row r="22" spans="1:6" x14ac:dyDescent="0.3">
      <c r="A22" s="4" t="s">
        <v>15</v>
      </c>
      <c r="B22" s="4" t="s">
        <v>18</v>
      </c>
      <c r="C22" s="4">
        <v>47.1</v>
      </c>
      <c r="D22" s="4">
        <v>47.9</v>
      </c>
      <c r="E22" s="4" t="s">
        <v>10</v>
      </c>
    </row>
    <row r="23" spans="1:6" x14ac:dyDescent="0.3">
      <c r="A23" s="1" t="s">
        <v>16</v>
      </c>
      <c r="B23" s="4" t="s">
        <v>7</v>
      </c>
      <c r="C23" s="5">
        <v>70901</v>
      </c>
      <c r="D23" s="5">
        <v>80032</v>
      </c>
      <c r="E23" s="4" t="s">
        <v>8</v>
      </c>
      <c r="F23" s="3" t="s">
        <v>22</v>
      </c>
    </row>
    <row r="24" spans="1:6" x14ac:dyDescent="0.3">
      <c r="A24" s="4" t="s">
        <v>16</v>
      </c>
      <c r="B24" s="4" t="s">
        <v>17</v>
      </c>
      <c r="C24" s="5">
        <v>166340</v>
      </c>
      <c r="D24" s="5">
        <v>173120</v>
      </c>
      <c r="E24" s="4" t="s">
        <v>8</v>
      </c>
    </row>
    <row r="25" spans="1:6" x14ac:dyDescent="0.3">
      <c r="A25" s="4" t="s">
        <v>16</v>
      </c>
      <c r="B25" s="4" t="s">
        <v>9</v>
      </c>
      <c r="C25" s="4">
        <v>1.1000000000000001</v>
      </c>
      <c r="D25" s="4">
        <v>1.1200000000000001</v>
      </c>
      <c r="E25" s="4" t="s">
        <v>10</v>
      </c>
    </row>
    <row r="26" spans="1:6" x14ac:dyDescent="0.3">
      <c r="A26" s="4" t="s">
        <v>16</v>
      </c>
      <c r="B26" s="4" t="s">
        <v>11</v>
      </c>
      <c r="C26" s="4">
        <v>19.87</v>
      </c>
      <c r="D26" s="4">
        <v>18.57</v>
      </c>
      <c r="E26" s="4" t="s">
        <v>10</v>
      </c>
    </row>
    <row r="27" spans="1:6" x14ac:dyDescent="0.3">
      <c r="A27" s="4" t="s">
        <v>16</v>
      </c>
      <c r="B27" s="4" t="s">
        <v>12</v>
      </c>
      <c r="C27" s="4">
        <v>1.82</v>
      </c>
      <c r="D27" s="4">
        <v>1.49</v>
      </c>
      <c r="E27" s="4" t="s">
        <v>10</v>
      </c>
    </row>
    <row r="28" spans="1:6" x14ac:dyDescent="0.3">
      <c r="A28" s="4" t="s">
        <v>16</v>
      </c>
      <c r="B28" s="4" t="s">
        <v>13</v>
      </c>
      <c r="C28" s="4">
        <v>0.47</v>
      </c>
      <c r="D28" s="4">
        <v>0.39</v>
      </c>
      <c r="E28" s="4" t="s">
        <v>10</v>
      </c>
    </row>
    <row r="29" spans="1:6" x14ac:dyDescent="0.3">
      <c r="A29" s="4" t="s">
        <v>16</v>
      </c>
      <c r="B29" s="4" t="s">
        <v>18</v>
      </c>
      <c r="C29" s="4">
        <v>51.64</v>
      </c>
      <c r="D29" s="4">
        <v>50.11</v>
      </c>
      <c r="E29" s="4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D05B-B7F7-48FB-9037-7ABA4BDE2F1A}">
  <dimension ref="A1:O5"/>
  <sheetViews>
    <sheetView zoomScale="90" zoomScaleNormal="90" workbookViewId="0">
      <pane ySplit="1" topLeftCell="A2" activePane="bottomLeft" state="frozen"/>
      <selection pane="bottomLeft" activeCell="I2" sqref="I2"/>
    </sheetView>
  </sheetViews>
  <sheetFormatPr defaultRowHeight="15.6" x14ac:dyDescent="0.3"/>
  <cols>
    <col min="1" max="1" width="12.44140625" style="8" bestFit="1" customWidth="1"/>
    <col min="2" max="3" width="22.44140625" style="7" bestFit="1" customWidth="1"/>
    <col min="4" max="5" width="15.88671875" style="7" bestFit="1" customWidth="1"/>
    <col min="6" max="7" width="15.5546875" style="7" bestFit="1" customWidth="1"/>
    <col min="8" max="9" width="15.44140625" style="7" bestFit="1" customWidth="1"/>
    <col min="10" max="11" width="16.88671875" style="7" bestFit="1" customWidth="1"/>
    <col min="12" max="13" width="16.6640625" style="7" bestFit="1" customWidth="1"/>
    <col min="14" max="15" width="25.5546875" style="7" bestFit="1" customWidth="1"/>
    <col min="16" max="16384" width="8.88671875" style="7"/>
  </cols>
  <sheetData>
    <row r="1" spans="1:15" s="9" customFormat="1" x14ac:dyDescent="0.3">
      <c r="A1" s="10" t="s">
        <v>0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</row>
    <row r="2" spans="1:15" x14ac:dyDescent="0.3">
      <c r="A2" s="11" t="str">
        <f>'Raw Data'!A2</f>
        <v>ICICI Bank</v>
      </c>
      <c r="B2" s="12">
        <f>'Raw Data'!C2</f>
        <v>47227</v>
      </c>
      <c r="C2" s="12">
        <f>'Raw Data'!D2</f>
        <v>50147</v>
      </c>
      <c r="D2" s="12">
        <f>'Raw Data'!C3</f>
        <v>81165</v>
      </c>
      <c r="E2" s="12">
        <f>'Raw Data'!D3</f>
        <v>88075</v>
      </c>
      <c r="F2" s="13">
        <f>'Raw Data'!C4</f>
        <v>2.4</v>
      </c>
      <c r="G2" s="13">
        <f>'Raw Data'!D4</f>
        <v>2.3199999999999998</v>
      </c>
      <c r="H2" s="13">
        <f>'Raw Data'!C5</f>
        <v>17.95</v>
      </c>
      <c r="I2" s="13">
        <f>'Raw Data'!D5</f>
        <v>15.97</v>
      </c>
      <c r="J2" s="13">
        <f>'Raw Data'!C6</f>
        <v>1.67</v>
      </c>
      <c r="K2" s="13">
        <f>'Raw Data'!D6</f>
        <v>1.4</v>
      </c>
      <c r="L2" s="13">
        <f>'Raw Data'!C7</f>
        <v>0.39</v>
      </c>
      <c r="M2" s="13">
        <f>'Raw Data'!D7</f>
        <v>0.33</v>
      </c>
      <c r="N2" s="13">
        <f>'Raw Data'!C8</f>
        <v>38.64</v>
      </c>
      <c r="O2" s="13">
        <f>'Raw Data'!D8</f>
        <v>39.75</v>
      </c>
    </row>
    <row r="3" spans="1:15" x14ac:dyDescent="0.3">
      <c r="A3" s="11" t="str">
        <f>'Raw Data'!A9</f>
        <v>HDFC Bank</v>
      </c>
      <c r="B3" s="12">
        <f>'Raw Data'!C9</f>
        <v>67347.399999999994</v>
      </c>
      <c r="C3" s="12">
        <f>'Raw Data'!D9</f>
        <v>74671.3</v>
      </c>
      <c r="D3" s="12">
        <f>'Raw Data'!C10</f>
        <v>122670.1</v>
      </c>
      <c r="E3" s="12">
        <f>'Raw Data'!D10</f>
        <v>128686</v>
      </c>
      <c r="F3" s="13">
        <f>'Raw Data'!C11</f>
        <v>1.91</v>
      </c>
      <c r="G3" s="13">
        <f>'Raw Data'!D11</f>
        <v>1.94</v>
      </c>
      <c r="H3" s="13">
        <f>'Raw Data'!C12</f>
        <v>14.56</v>
      </c>
      <c r="I3" s="13">
        <f>'Raw Data'!D12</f>
        <v>14.3</v>
      </c>
      <c r="J3" s="13">
        <f>'Raw Data'!C13</f>
        <v>1.33</v>
      </c>
      <c r="K3" s="13">
        <f>'Raw Data'!D13</f>
        <v>1.1499999999999999</v>
      </c>
      <c r="L3" s="13">
        <f>'Raw Data'!C14</f>
        <v>0.43</v>
      </c>
      <c r="M3" s="13">
        <f>'Raw Data'!D14</f>
        <v>0.38</v>
      </c>
      <c r="N3" s="13">
        <f>'Raw Data'!C15</f>
        <v>40.5</v>
      </c>
      <c r="O3" s="13">
        <f>'Raw Data'!D15</f>
        <v>38</v>
      </c>
    </row>
    <row r="4" spans="1:15" x14ac:dyDescent="0.3">
      <c r="A4" s="11" t="str">
        <f>'Raw Data'!A16</f>
        <v>Axis Bank</v>
      </c>
      <c r="B4" s="12">
        <f>'Raw Data'!C16</f>
        <v>26373</v>
      </c>
      <c r="C4" s="12">
        <f>'Raw Data'!D16</f>
        <v>24457</v>
      </c>
      <c r="D4" s="12">
        <f>'Raw Data'!C17</f>
        <v>54348</v>
      </c>
      <c r="E4" s="12">
        <f>'Raw Data'!D17</f>
        <v>56048</v>
      </c>
      <c r="F4" s="13">
        <f>'Raw Data'!C18</f>
        <v>1.74</v>
      </c>
      <c r="G4" s="13">
        <f>'Raw Data'!D18</f>
        <v>1.45</v>
      </c>
      <c r="H4" s="13">
        <f>'Raw Data'!C19</f>
        <v>16.52</v>
      </c>
      <c r="I4" s="13">
        <f>'Raw Data'!D19</f>
        <v>13.15</v>
      </c>
      <c r="J4" s="13">
        <f>'Raw Data'!C20</f>
        <v>1.28</v>
      </c>
      <c r="K4" s="13">
        <f>'Raw Data'!D20</f>
        <v>1.23</v>
      </c>
      <c r="L4" s="13">
        <f>'Raw Data'!C21</f>
        <v>0.33</v>
      </c>
      <c r="M4" s="13">
        <f>'Raw Data'!D21</f>
        <v>0.37</v>
      </c>
      <c r="N4" s="13">
        <f>'Raw Data'!C22</f>
        <v>47.1</v>
      </c>
      <c r="O4" s="13">
        <f>'Raw Data'!D22</f>
        <v>47.9</v>
      </c>
    </row>
    <row r="5" spans="1:15" x14ac:dyDescent="0.3">
      <c r="A5" s="11" t="str">
        <f>'Raw Data'!A23</f>
        <v>SBI</v>
      </c>
      <c r="B5" s="12">
        <f>'Raw Data'!C23</f>
        <v>70901</v>
      </c>
      <c r="C5" s="12">
        <f>'Raw Data'!D23</f>
        <v>80032</v>
      </c>
      <c r="D5" s="12">
        <f>'Raw Data'!C24</f>
        <v>166340</v>
      </c>
      <c r="E5" s="12">
        <f>'Raw Data'!D24</f>
        <v>173120</v>
      </c>
      <c r="F5" s="13">
        <f>'Raw Data'!C25</f>
        <v>1.1000000000000001</v>
      </c>
      <c r="G5" s="13">
        <f>'Raw Data'!D25</f>
        <v>1.1200000000000001</v>
      </c>
      <c r="H5" s="13">
        <f>'Raw Data'!C26</f>
        <v>19.87</v>
      </c>
      <c r="I5" s="13">
        <f>'Raw Data'!D26</f>
        <v>18.57</v>
      </c>
      <c r="J5" s="13">
        <f>'Raw Data'!C27</f>
        <v>1.82</v>
      </c>
      <c r="K5" s="13">
        <f>'Raw Data'!D27</f>
        <v>1.49</v>
      </c>
      <c r="L5" s="13">
        <f>'Raw Data'!C28</f>
        <v>0.47</v>
      </c>
      <c r="M5" s="13">
        <f>'Raw Data'!D28</f>
        <v>0.39</v>
      </c>
      <c r="N5" s="13">
        <f>'Raw Data'!C29</f>
        <v>51.64</v>
      </c>
      <c r="O5" s="13">
        <f>'Raw Data'!D29</f>
        <v>50.11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A7D3-615E-4899-BFB0-CDB48C09152B}">
  <dimension ref="A1:I12"/>
  <sheetViews>
    <sheetView topLeftCell="D1" zoomScale="110" zoomScaleNormal="110" workbookViewId="0">
      <selection activeCell="D23" sqref="D23"/>
    </sheetView>
  </sheetViews>
  <sheetFormatPr defaultRowHeight="14.4" x14ac:dyDescent="0.3"/>
  <cols>
    <col min="1" max="1" width="10" style="14" bestFit="1" customWidth="1"/>
    <col min="2" max="3" width="18.77734375" style="14" bestFit="1" customWidth="1"/>
    <col min="4" max="4" width="19.33203125" style="14" bestFit="1" customWidth="1"/>
    <col min="5" max="5" width="12.77734375" style="14" bestFit="1" customWidth="1"/>
    <col min="6" max="6" width="18.6640625" style="14" bestFit="1" customWidth="1"/>
    <col min="7" max="7" width="17.33203125" style="14" bestFit="1" customWidth="1"/>
    <col min="8" max="8" width="14.88671875" style="14" bestFit="1" customWidth="1"/>
    <col min="9" max="9" width="11.88671875" style="14" bestFit="1" customWidth="1"/>
    <col min="10" max="16384" width="8.88671875" style="14"/>
  </cols>
  <sheetData>
    <row r="1" spans="1:9" x14ac:dyDescent="0.3">
      <c r="A1" s="14" t="s">
        <v>0</v>
      </c>
      <c r="B1" s="14" t="s">
        <v>23</v>
      </c>
      <c r="C1" s="14" t="s">
        <v>24</v>
      </c>
      <c r="D1" s="14" t="s">
        <v>37</v>
      </c>
      <c r="E1" s="14" t="s">
        <v>25</v>
      </c>
      <c r="F1" s="14" t="s">
        <v>26</v>
      </c>
      <c r="G1" s="14" t="s">
        <v>38</v>
      </c>
    </row>
    <row r="2" spans="1:9" x14ac:dyDescent="0.3">
      <c r="A2" s="14" t="str">
        <f>Analysis!A2</f>
        <v>ICICI Bank</v>
      </c>
      <c r="B2" s="15">
        <f>Analysis!B2</f>
        <v>47227</v>
      </c>
      <c r="C2" s="15">
        <f>Analysis!C2</f>
        <v>50147</v>
      </c>
      <c r="D2" s="15">
        <f>(Performance!C2-Performance!B2)/Performance!B2*100</f>
        <v>6.1829038473754423</v>
      </c>
      <c r="E2" s="15">
        <f>Analysis!D2</f>
        <v>81165</v>
      </c>
      <c r="F2" s="15">
        <f>Analysis!E2</f>
        <v>88075</v>
      </c>
      <c r="G2" s="15">
        <f>(F2-E2)/E2*100</f>
        <v>8.5135218382307638</v>
      </c>
    </row>
    <row r="3" spans="1:9" x14ac:dyDescent="0.3">
      <c r="A3" s="14" t="str">
        <f>Analysis!A3</f>
        <v>HDFC Bank</v>
      </c>
      <c r="B3" s="15">
        <f>Analysis!B3</f>
        <v>67347.399999999994</v>
      </c>
      <c r="C3" s="15">
        <f>Analysis!C3</f>
        <v>74671.3</v>
      </c>
      <c r="D3" s="15">
        <f>(Performance!C3-Performance!B3)/Performance!B3*100</f>
        <v>10.874807342228518</v>
      </c>
      <c r="E3" s="15">
        <f>Analysis!D3</f>
        <v>122670.1</v>
      </c>
      <c r="F3" s="15">
        <f>Analysis!E3</f>
        <v>128686</v>
      </c>
      <c r="G3" s="15">
        <f t="shared" ref="G3:G5" si="0">(F3-E3)/E3*100</f>
        <v>4.9041290420403945</v>
      </c>
    </row>
    <row r="4" spans="1:9" x14ac:dyDescent="0.3">
      <c r="A4" s="14" t="str">
        <f>Analysis!A4</f>
        <v>Axis Bank</v>
      </c>
      <c r="B4" s="15">
        <f>Analysis!B4</f>
        <v>26373</v>
      </c>
      <c r="C4" s="15">
        <f>Analysis!C4</f>
        <v>24457</v>
      </c>
      <c r="D4" s="15">
        <f>(Performance!C4-Performance!B4)/Performance!B4*100</f>
        <v>-7.2650058772229169</v>
      </c>
      <c r="E4" s="15">
        <f>Analysis!D4</f>
        <v>54348</v>
      </c>
      <c r="F4" s="15">
        <f>Analysis!E4</f>
        <v>56048</v>
      </c>
      <c r="G4" s="15">
        <f t="shared" si="0"/>
        <v>3.1279899904320305</v>
      </c>
    </row>
    <row r="5" spans="1:9" x14ac:dyDescent="0.3">
      <c r="A5" s="14" t="str">
        <f>Analysis!A5</f>
        <v>SBI</v>
      </c>
      <c r="B5" s="15">
        <f>Analysis!B5</f>
        <v>70901</v>
      </c>
      <c r="C5" s="15">
        <f>Analysis!C5</f>
        <v>80032</v>
      </c>
      <c r="D5" s="15">
        <f>(Performance!C5-Performance!B5)/Performance!B5*100</f>
        <v>12.878520754291195</v>
      </c>
      <c r="E5" s="15">
        <f>Analysis!D5</f>
        <v>166340</v>
      </c>
      <c r="F5" s="15">
        <f>Analysis!E5</f>
        <v>173120</v>
      </c>
      <c r="G5" s="15">
        <f t="shared" si="0"/>
        <v>4.0759889383191057</v>
      </c>
    </row>
    <row r="8" spans="1:9" x14ac:dyDescent="0.3">
      <c r="A8" s="14" t="s">
        <v>0</v>
      </c>
      <c r="B8" s="14" t="s">
        <v>39</v>
      </c>
      <c r="C8" s="14" t="s">
        <v>40</v>
      </c>
      <c r="D8" s="14" t="s">
        <v>41</v>
      </c>
      <c r="E8" s="14" t="s">
        <v>42</v>
      </c>
      <c r="F8" s="14" t="s">
        <v>43</v>
      </c>
      <c r="G8" s="14" t="s">
        <v>44</v>
      </c>
      <c r="H8" s="14" t="s">
        <v>45</v>
      </c>
      <c r="I8" s="14" t="s">
        <v>46</v>
      </c>
    </row>
    <row r="9" spans="1:9" x14ac:dyDescent="0.3">
      <c r="A9" s="14" t="s">
        <v>6</v>
      </c>
      <c r="B9" s="14">
        <f>_xlfn.RANK.EQ(Analysis!G2,Analysis!$G$2:$G$5,0)</f>
        <v>1</v>
      </c>
      <c r="C9" s="14">
        <f>_xlfn.RANK.EQ(Analysis!I2,Analysis!$I$2:$I$5,0)</f>
        <v>2</v>
      </c>
      <c r="D9" s="14">
        <f>_xlfn.RANK.EQ(Analysis!K2,Analysis!$K$2:$K$5,1)</f>
        <v>3</v>
      </c>
      <c r="E9" s="14">
        <f>_xlfn.RANK.EQ(Analysis!M2,Analysis!$M$2:$M$5,1)</f>
        <v>1</v>
      </c>
      <c r="F9" s="14">
        <f>_xlfn.RANK.EQ(Analysis!O2,Analysis!$O$2:$O$5,1)</f>
        <v>2</v>
      </c>
      <c r="G9" s="14">
        <f>_xlfn.RANK.EQ(D2,$D$2:$D$5,0)</f>
        <v>3</v>
      </c>
      <c r="H9" s="14">
        <f>_xlfn.RANK.EQ(G2,$G$2:$G$5,0)</f>
        <v>1</v>
      </c>
      <c r="I9" s="14">
        <f>SUM(B9:H9)</f>
        <v>13</v>
      </c>
    </row>
    <row r="10" spans="1:9" x14ac:dyDescent="0.3">
      <c r="A10" s="14" t="s">
        <v>14</v>
      </c>
      <c r="B10" s="14">
        <f>_xlfn.RANK.EQ(Analysis!G3,Analysis!$G$2:$G$5,0)</f>
        <v>2</v>
      </c>
      <c r="C10" s="14">
        <f>_xlfn.RANK.EQ(Analysis!I3,Analysis!$I$2:$I$5,0)</f>
        <v>3</v>
      </c>
      <c r="D10" s="14">
        <f>_xlfn.RANK.EQ(Analysis!K3,Analysis!$K$2:$K$5,1)</f>
        <v>1</v>
      </c>
      <c r="E10" s="14">
        <f>_xlfn.RANK.EQ(Analysis!M3,Analysis!$M$2:$M$5,1)</f>
        <v>3</v>
      </c>
      <c r="F10" s="14">
        <f>_xlfn.RANK.EQ(Analysis!O3,Analysis!$O$2:$O$5,1)</f>
        <v>1</v>
      </c>
      <c r="G10" s="14">
        <f t="shared" ref="G10:G12" si="1">_xlfn.RANK.EQ(D3,$D$2:$D$5,0)</f>
        <v>2</v>
      </c>
      <c r="H10" s="14">
        <f t="shared" ref="H10:H12" si="2">_xlfn.RANK.EQ(G3,$G$2:$G$5,0)</f>
        <v>2</v>
      </c>
      <c r="I10" s="14">
        <f t="shared" ref="I10:I12" si="3">SUM(B10:H10)</f>
        <v>14</v>
      </c>
    </row>
    <row r="11" spans="1:9" x14ac:dyDescent="0.3">
      <c r="A11" s="14" t="s">
        <v>15</v>
      </c>
      <c r="B11" s="14">
        <f>_xlfn.RANK.EQ(Analysis!G4,Analysis!$G$2:$G$5,0)</f>
        <v>3</v>
      </c>
      <c r="C11" s="14">
        <f>_xlfn.RANK.EQ(Analysis!I4,Analysis!$I$2:$I$5,0)</f>
        <v>4</v>
      </c>
      <c r="D11" s="14">
        <f>_xlfn.RANK.EQ(Analysis!K4,Analysis!$K$2:$K$5,1)</f>
        <v>2</v>
      </c>
      <c r="E11" s="14">
        <f>_xlfn.RANK.EQ(Analysis!M4,Analysis!$M$2:$M$5,1)</f>
        <v>2</v>
      </c>
      <c r="F11" s="14">
        <f>_xlfn.RANK.EQ(Analysis!O4,Analysis!$O$2:$O$5,1)</f>
        <v>3</v>
      </c>
      <c r="G11" s="14">
        <f t="shared" si="1"/>
        <v>4</v>
      </c>
      <c r="H11" s="14">
        <f t="shared" si="2"/>
        <v>4</v>
      </c>
      <c r="I11" s="14">
        <f t="shared" si="3"/>
        <v>22</v>
      </c>
    </row>
    <row r="12" spans="1:9" x14ac:dyDescent="0.3">
      <c r="A12" s="14" t="s">
        <v>16</v>
      </c>
      <c r="B12" s="14">
        <f>_xlfn.RANK.EQ(Analysis!G5,Analysis!$G$2:$G$5,0)</f>
        <v>4</v>
      </c>
      <c r="C12" s="14">
        <f>_xlfn.RANK.EQ(Analysis!I5,Analysis!$I$2:$I$5,0)</f>
        <v>1</v>
      </c>
      <c r="D12" s="14">
        <f>_xlfn.RANK.EQ(Analysis!K5,Analysis!$K$2:$K$5,1)</f>
        <v>4</v>
      </c>
      <c r="E12" s="14">
        <f>_xlfn.RANK.EQ(Analysis!M5,Analysis!$M$2:$M$5,1)</f>
        <v>4</v>
      </c>
      <c r="F12" s="14">
        <f>_xlfn.RANK.EQ(Analysis!O5,Analysis!$O$2:$O$5,1)</f>
        <v>4</v>
      </c>
      <c r="G12" s="14">
        <f t="shared" si="1"/>
        <v>1</v>
      </c>
      <c r="H12" s="14">
        <f t="shared" si="2"/>
        <v>3</v>
      </c>
      <c r="I12" s="14">
        <f t="shared" si="3"/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50F7-EC3A-4A1C-A0DC-A16C34D3E920}">
  <dimension ref="A1:C53"/>
  <sheetViews>
    <sheetView zoomScale="87" workbookViewId="0">
      <selection activeCell="R16" sqref="R16"/>
    </sheetView>
  </sheetViews>
  <sheetFormatPr defaultRowHeight="14.4" x14ac:dyDescent="0.3"/>
  <cols>
    <col min="1" max="1" width="9.88671875" bestFit="1" customWidth="1"/>
    <col min="2" max="3" width="18.33203125" bestFit="1" customWidth="1"/>
  </cols>
  <sheetData>
    <row r="1" spans="1:3" x14ac:dyDescent="0.3">
      <c r="A1" s="14"/>
      <c r="B1" s="14"/>
      <c r="C1" s="14"/>
    </row>
    <row r="2" spans="1:3" x14ac:dyDescent="0.3">
      <c r="A2" s="14"/>
      <c r="B2" s="15"/>
      <c r="C2" s="15"/>
    </row>
    <row r="3" spans="1:3" x14ac:dyDescent="0.3">
      <c r="A3" s="14"/>
      <c r="B3" s="15"/>
      <c r="C3" s="15"/>
    </row>
    <row r="4" spans="1:3" x14ac:dyDescent="0.3">
      <c r="A4" s="14"/>
      <c r="B4" s="15"/>
      <c r="C4" s="15"/>
    </row>
    <row r="5" spans="1:3" x14ac:dyDescent="0.3">
      <c r="A5" s="14"/>
      <c r="B5" s="15"/>
      <c r="C5" s="15"/>
    </row>
    <row r="42" spans="1:3" x14ac:dyDescent="0.3">
      <c r="A42" t="s">
        <v>0</v>
      </c>
      <c r="B42" t="s">
        <v>28</v>
      </c>
      <c r="C42" t="s">
        <v>30</v>
      </c>
    </row>
    <row r="43" spans="1:3" x14ac:dyDescent="0.3">
      <c r="A43" t="s">
        <v>6</v>
      </c>
      <c r="B43" s="16">
        <f>Analysis!G2</f>
        <v>2.3199999999999998</v>
      </c>
      <c r="C43" s="16">
        <f>Analysis!I2</f>
        <v>15.97</v>
      </c>
    </row>
    <row r="44" spans="1:3" x14ac:dyDescent="0.3">
      <c r="A44" t="s">
        <v>14</v>
      </c>
      <c r="B44" s="16">
        <f>Analysis!G3</f>
        <v>1.94</v>
      </c>
      <c r="C44" s="16">
        <f>Analysis!I3</f>
        <v>14.3</v>
      </c>
    </row>
    <row r="45" spans="1:3" x14ac:dyDescent="0.3">
      <c r="A45" t="s">
        <v>15</v>
      </c>
      <c r="B45" s="16">
        <f>Analysis!G4</f>
        <v>1.45</v>
      </c>
      <c r="C45" s="16">
        <f>Analysis!I4</f>
        <v>13.15</v>
      </c>
    </row>
    <row r="46" spans="1:3" x14ac:dyDescent="0.3">
      <c r="A46" t="s">
        <v>16</v>
      </c>
      <c r="B46" s="16">
        <f>Analysis!G5</f>
        <v>1.1200000000000001</v>
      </c>
      <c r="C46" s="16">
        <f>Analysis!I5</f>
        <v>18.57</v>
      </c>
    </row>
    <row r="49" spans="1:3" x14ac:dyDescent="0.3">
      <c r="A49" t="s">
        <v>0</v>
      </c>
      <c r="B49" t="s">
        <v>32</v>
      </c>
      <c r="C49" t="s">
        <v>34</v>
      </c>
    </row>
    <row r="50" spans="1:3" x14ac:dyDescent="0.3">
      <c r="A50" t="s">
        <v>6</v>
      </c>
      <c r="B50" s="16">
        <f>Analysis!K2</f>
        <v>1.4</v>
      </c>
      <c r="C50" s="16">
        <f>Analysis!M2</f>
        <v>0.33</v>
      </c>
    </row>
    <row r="51" spans="1:3" x14ac:dyDescent="0.3">
      <c r="A51" t="s">
        <v>14</v>
      </c>
      <c r="B51" s="16">
        <f>Analysis!K3</f>
        <v>1.1499999999999999</v>
      </c>
      <c r="C51" s="16">
        <f>Analysis!M3</f>
        <v>0.38</v>
      </c>
    </row>
    <row r="52" spans="1:3" x14ac:dyDescent="0.3">
      <c r="A52" t="s">
        <v>15</v>
      </c>
      <c r="B52" s="16">
        <f>Analysis!K4</f>
        <v>1.23</v>
      </c>
      <c r="C52" s="16">
        <f>Analysis!M4</f>
        <v>0.37</v>
      </c>
    </row>
    <row r="53" spans="1:3" x14ac:dyDescent="0.3">
      <c r="A53" t="s">
        <v>16</v>
      </c>
      <c r="B53" s="16">
        <f>Analysis!K5</f>
        <v>1.49</v>
      </c>
      <c r="C53" s="16">
        <f>Analysis!M5</f>
        <v>0.39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870A-9B8B-419E-AEDF-78046B4E6888}">
  <dimension ref="A1:C8"/>
  <sheetViews>
    <sheetView workbookViewId="0">
      <selection activeCell="I5" sqref="I5"/>
    </sheetView>
  </sheetViews>
  <sheetFormatPr defaultRowHeight="14.4" x14ac:dyDescent="0.3"/>
  <cols>
    <col min="1" max="1" width="4" style="14" bestFit="1" customWidth="1"/>
    <col min="2" max="2" width="28.77734375" style="14" bestFit="1" customWidth="1"/>
    <col min="3" max="3" width="79.44140625" style="14" customWidth="1"/>
    <col min="4" max="4" width="30" style="14" customWidth="1"/>
    <col min="5" max="16384" width="8.88671875" style="14"/>
  </cols>
  <sheetData>
    <row r="1" spans="1:3" x14ac:dyDescent="0.3">
      <c r="A1" s="17" t="s">
        <v>47</v>
      </c>
      <c r="B1" s="17" t="s">
        <v>48</v>
      </c>
      <c r="C1" s="17" t="s">
        <v>49</v>
      </c>
    </row>
    <row r="2" spans="1:3" ht="27.6" x14ac:dyDescent="0.3">
      <c r="A2" s="18">
        <v>1</v>
      </c>
      <c r="B2" s="18" t="s">
        <v>50</v>
      </c>
      <c r="C2" s="19" t="s">
        <v>51</v>
      </c>
    </row>
    <row r="3" spans="1:3" ht="27.6" x14ac:dyDescent="0.3">
      <c r="A3" s="18">
        <v>2</v>
      </c>
      <c r="B3" s="18" t="s">
        <v>52</v>
      </c>
      <c r="C3" s="19" t="s">
        <v>53</v>
      </c>
    </row>
    <row r="4" spans="1:3" ht="27.6" x14ac:dyDescent="0.3">
      <c r="A4" s="18">
        <v>3</v>
      </c>
      <c r="B4" s="18" t="s">
        <v>54</v>
      </c>
      <c r="C4" s="19" t="s">
        <v>55</v>
      </c>
    </row>
    <row r="5" spans="1:3" ht="27.6" x14ac:dyDescent="0.3">
      <c r="A5" s="18">
        <v>4</v>
      </c>
      <c r="B5" s="18" t="s">
        <v>56</v>
      </c>
      <c r="C5" s="19" t="s">
        <v>57</v>
      </c>
    </row>
    <row r="6" spans="1:3" ht="27.6" x14ac:dyDescent="0.3">
      <c r="A6" s="18">
        <v>5</v>
      </c>
      <c r="B6" s="18" t="s">
        <v>58</v>
      </c>
      <c r="C6" s="19" t="s">
        <v>59</v>
      </c>
    </row>
    <row r="7" spans="1:3" ht="27.6" x14ac:dyDescent="0.3">
      <c r="A7" s="18">
        <v>6</v>
      </c>
      <c r="B7" s="18" t="s">
        <v>60</v>
      </c>
      <c r="C7" s="19" t="s">
        <v>61</v>
      </c>
    </row>
    <row r="8" spans="1:3" ht="27.6" x14ac:dyDescent="0.3">
      <c r="A8" s="18">
        <v>7</v>
      </c>
      <c r="B8" s="18" t="s">
        <v>62</v>
      </c>
      <c r="C8" s="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</vt:lpstr>
      <vt:lpstr>Performance</vt:lpstr>
      <vt:lpstr>Charts</vt:lpstr>
      <vt:lpstr>Key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ramakhil12@outlook.com</dc:creator>
  <cp:lastModifiedBy>ramakhil12@outlook.com</cp:lastModifiedBy>
  <dcterms:created xsi:type="dcterms:W3CDTF">2026-10-05T10:43:50Z</dcterms:created>
  <dcterms:modified xsi:type="dcterms:W3CDTF">2026-10-16T09:25:21Z</dcterms:modified>
</cp:coreProperties>
</file>